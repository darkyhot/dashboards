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0" i="1" l="1"/>
  <c r="G47" i="1"/>
  <c r="G44" i="1"/>
  <c r="G41" i="1"/>
  <c r="G38" i="1"/>
  <c r="G33" i="1"/>
  <c r="G30" i="1"/>
  <c r="G27" i="1"/>
  <c r="G24" i="1"/>
  <c r="G21" i="1"/>
  <c r="G16" i="1"/>
  <c r="G13" i="1"/>
  <c r="G10" i="1"/>
  <c r="G7" i="1"/>
  <c r="G4" i="1"/>
  <c r="C37" i="1"/>
  <c r="C20" i="1"/>
  <c r="C3" i="1"/>
  <c r="F52" i="1" l="1"/>
  <c r="F51" i="1"/>
  <c r="F49" i="1"/>
  <c r="F48" i="1"/>
  <c r="F46" i="1"/>
  <c r="F45" i="1"/>
  <c r="F43" i="1"/>
  <c r="F42" i="1"/>
  <c r="F40" i="1"/>
  <c r="F39" i="1"/>
  <c r="F18" i="1"/>
  <c r="F17" i="1"/>
  <c r="F15" i="1"/>
  <c r="F14" i="1"/>
  <c r="F12" i="1"/>
  <c r="F11" i="1"/>
  <c r="F9" i="1"/>
  <c r="F8" i="1"/>
  <c r="F32" i="1"/>
  <c r="F31" i="1"/>
  <c r="F35" i="1"/>
  <c r="F34" i="1"/>
  <c r="F29" i="1"/>
  <c r="F28" i="1"/>
  <c r="F26" i="1"/>
  <c r="F25" i="1"/>
  <c r="F22" i="1"/>
  <c r="F23" i="1"/>
  <c r="F6" i="1"/>
  <c r="F5" i="1"/>
  <c r="C53" i="1" l="1"/>
  <c r="C36" i="1" l="1"/>
  <c r="C19" i="1"/>
  <c r="H19" i="1" l="1"/>
  <c r="H36" i="1"/>
  <c r="H53" i="1"/>
</calcChain>
</file>

<file path=xl/sharedStrings.xml><?xml version="1.0" encoding="utf-8"?>
<sst xmlns="http://schemas.openxmlformats.org/spreadsheetml/2006/main" count="93" uniqueCount="36">
  <si>
    <t>Фактический отток</t>
  </si>
  <si>
    <t>зафиксирован</t>
  </si>
  <si>
    <t>Портфель и последний контакт</t>
  </si>
  <si>
    <t>Потенциал и последний контакт</t>
  </si>
  <si>
    <t>результат (расчет)</t>
  </si>
  <si>
    <t>параметр 
(эксперт)</t>
  </si>
  <si>
    <t>Риск оттока (ситуационный)</t>
  </si>
  <si>
    <t>Возможность расширения (ситуационная)</t>
  </si>
  <si>
    <t>объем ФЛ, чел</t>
  </si>
  <si>
    <t>данные</t>
  </si>
  <si>
    <t>контакт &gt; 5 месяцев</t>
  </si>
  <si>
    <t>итог</t>
  </si>
  <si>
    <t>ИНН 1</t>
  </si>
  <si>
    <t>ИНН 2</t>
  </si>
  <si>
    <t>объем ФОТ, руб</t>
  </si>
  <si>
    <t>привлечение</t>
  </si>
  <si>
    <t>отток</t>
  </si>
  <si>
    <t>удержание</t>
  </si>
  <si>
    <t>Упр Василий Никифорович</t>
  </si>
  <si>
    <t>Стратегия</t>
  </si>
  <si>
    <t>ИНН 3</t>
  </si>
  <si>
    <t>критерий</t>
  </si>
  <si>
    <t>Фактический отток (50+ ФЛ или &gt;Х% от текущего объема)</t>
  </si>
  <si>
    <t>стратегия</t>
  </si>
  <si>
    <t>Правила контактной политики:</t>
  </si>
  <si>
    <t>Упр – 1/6</t>
  </si>
  <si>
    <t>ЗУпр КИБ – 1/6</t>
  </si>
  <si>
    <t>ЗУпр РБ – 1/3</t>
  </si>
  <si>
    <t>НУ/НО – 1/3</t>
  </si>
  <si>
    <t>МКК ТБ – 1/3</t>
  </si>
  <si>
    <t>КМ – 1/3</t>
  </si>
  <si>
    <t>МЗП – 1/3</t>
  </si>
  <si>
    <t>вес критерия (эксперт)</t>
  </si>
  <si>
    <t>вес ФОТ/ФЛ (для инфо)</t>
  </si>
  <si>
    <t>вес</t>
  </si>
  <si>
    <t>приоритет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</si>
</sst>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2">
    <xf numFmtId="0" fontId="0" fillId="0" borderId="0" xfId="0"/>
    <xf numFmtId="43" fontId="0" fillId="0" borderId="0" xfId="1" applyNumberFormat="1" applyFont="1"/>
    <xf numFmtId="0" fontId="2" fillId="0" borderId="0" xfId="0" applyFont="1"/>
    <xf numFmtId="0" fontId="0" fillId="0" borderId="0" xfId="0" applyAlignment="1">
      <alignment vertical="top" wrapText="1"/>
    </xf>
    <xf numFmtId="43" fontId="0" fillId="0" borderId="0" xfId="1" applyNumberFormat="1" applyFont="1" applyAlignment="1">
      <alignment vertical="top" wrapText="1"/>
    </xf>
    <xf numFmtId="0" fontId="2" fillId="0" borderId="0" xfId="0" applyFont="1" applyAlignment="1">
      <alignment wrapText="1"/>
    </xf>
    <xf numFmtId="0" fontId="2" fillId="0" borderId="0" xfId="0" applyFont="1" applyFill="1" applyAlignment="1">
      <alignment wrapText="1"/>
    </xf>
    <xf numFmtId="0" fontId="2" fillId="0" borderId="0" xfId="0" applyFont="1" applyFill="1" applyAlignment="1">
      <alignment horizontal="center"/>
    </xf>
    <xf numFmtId="0" fontId="2" fillId="0" borderId="0" xfId="0" applyFont="1" applyFill="1"/>
    <xf numFmtId="43" fontId="2" fillId="0" borderId="0" xfId="1" applyNumberFormat="1" applyFont="1" applyBorder="1" applyAlignment="1">
      <alignment horizontal="left" vertical="center"/>
    </xf>
    <xf numFmtId="0" fontId="2" fillId="0" borderId="0" xfId="0" applyFont="1" applyFill="1" applyAlignment="1">
      <alignment horizontal="left"/>
    </xf>
    <xf numFmtId="43" fontId="0" fillId="0" borderId="0" xfId="1" applyNumberFormat="1" applyFont="1" applyAlignment="1">
      <alignment horizontal="center" vertical="center"/>
    </xf>
    <xf numFmtId="164" fontId="2" fillId="0" borderId="0" xfId="1" applyNumberFormat="1" applyFont="1" applyBorder="1" applyAlignment="1">
      <alignment horizontal="left" vertical="center"/>
    </xf>
    <xf numFmtId="164" fontId="0" fillId="0" borderId="0" xfId="1" applyNumberFormat="1" applyFont="1" applyAlignment="1">
      <alignment vertical="top" wrapText="1"/>
    </xf>
    <xf numFmtId="164" fontId="2" fillId="0" borderId="0" xfId="1" applyNumberFormat="1" applyFont="1" applyFill="1" applyAlignment="1">
      <alignment horizontal="center"/>
    </xf>
    <xf numFmtId="164" fontId="0" fillId="0" borderId="0" xfId="1" applyNumberFormat="1" applyFont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0" fillId="0" borderId="0" xfId="1" applyNumberFormat="1" applyFont="1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top" wrapText="1"/>
    </xf>
    <xf numFmtId="0" fontId="0" fillId="4" borderId="0" xfId="0" applyFill="1" applyAlignment="1">
      <alignment vertical="top" wrapText="1"/>
    </xf>
    <xf numFmtId="0" fontId="2" fillId="4" borderId="0" xfId="0" applyFont="1" applyFill="1" applyAlignment="1">
      <alignment horizontal="center"/>
    </xf>
    <xf numFmtId="0" fontId="0" fillId="4" borderId="0" xfId="0" applyFill="1" applyAlignment="1">
      <alignment horizontal="right"/>
    </xf>
    <xf numFmtId="9" fontId="0" fillId="4" borderId="0" xfId="2" applyNumberFormat="1" applyFont="1" applyFill="1" applyAlignment="1">
      <alignment horizontal="right"/>
    </xf>
    <xf numFmtId="9" fontId="0" fillId="4" borderId="0" xfId="2" applyFont="1" applyFill="1" applyAlignment="1">
      <alignment horizontal="right"/>
    </xf>
    <xf numFmtId="43" fontId="2" fillId="4" borderId="0" xfId="1" applyNumberFormat="1" applyFont="1" applyFill="1" applyBorder="1" applyAlignment="1">
      <alignment horizontal="left" vertical="center"/>
    </xf>
    <xf numFmtId="0" fontId="0" fillId="4" borderId="0" xfId="0" applyFill="1"/>
    <xf numFmtId="164" fontId="2" fillId="3" borderId="1" xfId="1" applyNumberFormat="1" applyFont="1" applyFill="1" applyBorder="1" applyAlignment="1">
      <alignment horizontal="left" vertical="center"/>
    </xf>
    <xf numFmtId="0" fontId="2" fillId="5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horizontal="left" vertical="center"/>
    </xf>
    <xf numFmtId="43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3" borderId="0" xfId="0" applyFont="1" applyFill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43" fontId="2" fillId="5" borderId="6" xfId="1" applyNumberFormat="1" applyFont="1" applyFill="1" applyBorder="1" applyAlignment="1">
      <alignment horizontal="center" vertical="center"/>
    </xf>
    <xf numFmtId="43" fontId="2" fillId="5" borderId="7" xfId="1" applyNumberFormat="1" applyFont="1" applyFill="1" applyBorder="1" applyAlignment="1">
      <alignment horizontal="center" vertical="center"/>
    </xf>
    <xf numFmtId="43" fontId="2" fillId="5" borderId="2" xfId="1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3"/>
  <sheetViews>
    <sheetView tabSelected="1" zoomScale="90" zoomScaleNormal="90" workbookViewId="0">
      <selection activeCell="T16" sqref="T16"/>
    </sheetView>
  </sheetViews>
  <sheetFormatPr defaultRowHeight="15" x14ac:dyDescent="0.25"/>
  <cols>
    <col min="1" max="1" width="6.42578125" bestFit="1" customWidth="1"/>
    <col min="2" max="2" width="32.85546875" style="5" customWidth="1"/>
    <col min="3" max="3" width="13.28515625" style="5" customWidth="1"/>
    <col min="4" max="4" width="19.28515625" bestFit="1" customWidth="1"/>
    <col min="5" max="5" width="15.5703125" style="17" customWidth="1"/>
    <col min="6" max="6" width="12.28515625" style="27" hidden="1" customWidth="1"/>
    <col min="7" max="8" width="10.85546875" style="1" customWidth="1"/>
    <col min="10" max="10" width="12.42578125" style="2" bestFit="1" customWidth="1"/>
  </cols>
  <sheetData>
    <row r="1" spans="1:15" s="3" customFormat="1" ht="30" x14ac:dyDescent="0.25">
      <c r="B1" s="20" t="s">
        <v>21</v>
      </c>
      <c r="C1" s="3" t="s">
        <v>32</v>
      </c>
      <c r="D1" s="3" t="s">
        <v>5</v>
      </c>
      <c r="E1" s="13" t="s">
        <v>9</v>
      </c>
      <c r="F1" s="21" t="s">
        <v>33</v>
      </c>
      <c r="G1" s="4" t="s">
        <v>4</v>
      </c>
      <c r="H1" s="4" t="s">
        <v>35</v>
      </c>
      <c r="J1" s="18" t="s">
        <v>23</v>
      </c>
      <c r="K1" s="18" t="s">
        <v>34</v>
      </c>
    </row>
    <row r="2" spans="1:15" s="2" customFormat="1" x14ac:dyDescent="0.25">
      <c r="A2" s="34" t="s">
        <v>18</v>
      </c>
      <c r="B2" s="34"/>
      <c r="C2" s="34"/>
      <c r="D2" s="34"/>
      <c r="E2" s="34"/>
      <c r="F2" s="34"/>
      <c r="G2" s="34"/>
      <c r="H2" s="34"/>
      <c r="J2" s="2" t="s">
        <v>16</v>
      </c>
      <c r="K2" s="2">
        <v>1.18</v>
      </c>
      <c r="O2" s="2">
        <v>0</v>
      </c>
    </row>
    <row r="3" spans="1:15" s="8" customFormat="1" x14ac:dyDescent="0.25">
      <c r="A3" s="35" t="s">
        <v>12</v>
      </c>
      <c r="B3" s="6" t="s">
        <v>19</v>
      </c>
      <c r="C3" s="7">
        <f>IF(D3="отток",$K$2,IF(D3="удержание",$K$3,IF(D3="привлечение",$K$4,0)))</f>
        <v>1.18</v>
      </c>
      <c r="D3" s="10" t="s">
        <v>16</v>
      </c>
      <c r="E3" s="14"/>
      <c r="F3" s="22"/>
      <c r="G3" s="7"/>
      <c r="H3" s="7"/>
      <c r="J3" s="8" t="s">
        <v>17</v>
      </c>
      <c r="K3" s="8">
        <v>1.1499999999999999</v>
      </c>
      <c r="O3" s="8">
        <v>1</v>
      </c>
    </row>
    <row r="4" spans="1:15" x14ac:dyDescent="0.25">
      <c r="A4" s="35"/>
      <c r="B4" s="33" t="s">
        <v>6</v>
      </c>
      <c r="C4" s="32">
        <v>4.9000000000000004</v>
      </c>
      <c r="D4" t="s">
        <v>1</v>
      </c>
      <c r="E4" s="15">
        <v>1</v>
      </c>
      <c r="F4" s="23"/>
      <c r="G4" s="31">
        <f>E4*((C4-1)/(5-1))*SUM(IFERROR(E5/SUM(E5,E22,E39),0),IFERROR(E6/SUM(E6,E23,E40),0))</f>
        <v>1.9500000000000002</v>
      </c>
      <c r="H4" s="11"/>
      <c r="J4" s="2" t="s">
        <v>15</v>
      </c>
      <c r="K4" s="2">
        <v>1.2</v>
      </c>
    </row>
    <row r="5" spans="1:15" x14ac:dyDescent="0.25">
      <c r="A5" s="35"/>
      <c r="B5" s="33"/>
      <c r="C5" s="32"/>
      <c r="D5" t="s">
        <v>14</v>
      </c>
      <c r="E5" s="16">
        <v>35000000</v>
      </c>
      <c r="F5" s="24">
        <f>IFERROR(E5/SUM(E5,E22,E39),0)</f>
        <v>1</v>
      </c>
      <c r="G5" s="31"/>
      <c r="H5" s="11"/>
    </row>
    <row r="6" spans="1:15" x14ac:dyDescent="0.25">
      <c r="A6" s="35"/>
      <c r="B6" s="33"/>
      <c r="C6" s="32"/>
      <c r="D6" t="s">
        <v>8</v>
      </c>
      <c r="E6" s="16">
        <v>3000</v>
      </c>
      <c r="F6" s="25">
        <f t="shared" ref="F6:F18" si="0">IFERROR(E6/SUM(E6,E23,E40),0)</f>
        <v>1</v>
      </c>
      <c r="G6" s="31"/>
      <c r="H6" s="11"/>
    </row>
    <row r="7" spans="1:15" x14ac:dyDescent="0.25">
      <c r="A7" s="35"/>
      <c r="B7" s="33" t="s">
        <v>7</v>
      </c>
      <c r="C7" s="32">
        <v>4.8</v>
      </c>
      <c r="D7" t="s">
        <v>1</v>
      </c>
      <c r="E7" s="15">
        <v>0</v>
      </c>
      <c r="F7" s="23"/>
      <c r="G7" s="31">
        <f>E7*((C7-1)/(5-1))*SUM(IFERROR(E8/SUM(E8,E25,E42),0),IFERROR(E9/SUM(E9,E26,E43),0))</f>
        <v>0</v>
      </c>
      <c r="H7" s="11"/>
    </row>
    <row r="8" spans="1:15" x14ac:dyDescent="0.25">
      <c r="A8" s="35"/>
      <c r="B8" s="33"/>
      <c r="C8" s="32"/>
      <c r="D8" t="s">
        <v>14</v>
      </c>
      <c r="E8" s="16">
        <v>0</v>
      </c>
      <c r="F8" s="25">
        <f>IFERROR(E8/SUM(E8,E25,E42),0)</f>
        <v>0</v>
      </c>
      <c r="G8" s="31"/>
      <c r="H8" s="11"/>
      <c r="J8" s="19" t="s">
        <v>24</v>
      </c>
    </row>
    <row r="9" spans="1:15" x14ac:dyDescent="0.25">
      <c r="A9" s="35"/>
      <c r="B9" s="33"/>
      <c r="C9" s="32"/>
      <c r="D9" t="s">
        <v>8</v>
      </c>
      <c r="E9" s="16">
        <v>0</v>
      </c>
      <c r="F9" s="25">
        <f t="shared" si="0"/>
        <v>0</v>
      </c>
      <c r="G9" s="31"/>
      <c r="H9" s="11"/>
      <c r="J9" s="19" t="s">
        <v>25</v>
      </c>
    </row>
    <row r="10" spans="1:15" x14ac:dyDescent="0.25">
      <c r="A10" s="35"/>
      <c r="B10" s="33" t="s">
        <v>22</v>
      </c>
      <c r="C10" s="32">
        <v>2.5</v>
      </c>
      <c r="D10" t="s">
        <v>1</v>
      </c>
      <c r="E10" s="15">
        <v>0</v>
      </c>
      <c r="F10" s="23"/>
      <c r="G10" s="31">
        <f>E10*((C10-1)/(5-1))*SUM(IFERROR(E11/SUM(E11,E28,E45),0),IFERROR(E12/SUM(E12,E29,E46),0))</f>
        <v>0</v>
      </c>
      <c r="H10" s="11"/>
      <c r="J10" s="19" t="s">
        <v>26</v>
      </c>
    </row>
    <row r="11" spans="1:15" x14ac:dyDescent="0.25">
      <c r="A11" s="35"/>
      <c r="B11" s="33"/>
      <c r="C11" s="32"/>
      <c r="D11" t="s">
        <v>14</v>
      </c>
      <c r="E11" s="16">
        <v>0</v>
      </c>
      <c r="F11" s="25">
        <f>IFERROR(E11/SUM(E11,E28,E45),0)</f>
        <v>0</v>
      </c>
      <c r="G11" s="31"/>
      <c r="H11" s="11"/>
      <c r="J11" s="19" t="s">
        <v>27</v>
      </c>
    </row>
    <row r="12" spans="1:15" x14ac:dyDescent="0.25">
      <c r="A12" s="35"/>
      <c r="B12" s="33"/>
      <c r="C12" s="32"/>
      <c r="D12" t="s">
        <v>8</v>
      </c>
      <c r="E12" s="16">
        <v>0</v>
      </c>
      <c r="F12" s="25">
        <f t="shared" si="0"/>
        <v>0</v>
      </c>
      <c r="G12" s="31"/>
      <c r="H12" s="11"/>
      <c r="J12" s="19" t="s">
        <v>28</v>
      </c>
    </row>
    <row r="13" spans="1:15" x14ac:dyDescent="0.25">
      <c r="A13" s="35"/>
      <c r="B13" s="33" t="s">
        <v>2</v>
      </c>
      <c r="C13" s="32">
        <v>1.4</v>
      </c>
      <c r="D13" t="s">
        <v>10</v>
      </c>
      <c r="E13" s="15">
        <v>1</v>
      </c>
      <c r="F13" s="23"/>
      <c r="G13" s="31">
        <f>E13*((C13-1)/(5-1))*SUM(IFERROR(E14/SUM(E14,E31,E48),0),IFERROR(E15/SUM(E15,E32,E49),0))</f>
        <v>5.9821428571428553E-2</v>
      </c>
      <c r="H13" s="11"/>
      <c r="J13" s="19" t="s">
        <v>29</v>
      </c>
    </row>
    <row r="14" spans="1:15" x14ac:dyDescent="0.25">
      <c r="A14" s="35"/>
      <c r="B14" s="33"/>
      <c r="C14" s="32"/>
      <c r="D14" t="s">
        <v>14</v>
      </c>
      <c r="E14" s="16">
        <v>15000000</v>
      </c>
      <c r="F14" s="25">
        <f>IFERROR(E14/SUM(E14,E31,E48),0)</f>
        <v>0.3125</v>
      </c>
      <c r="G14" s="31"/>
      <c r="H14" s="11"/>
      <c r="J14" s="19" t="s">
        <v>30</v>
      </c>
    </row>
    <row r="15" spans="1:15" x14ac:dyDescent="0.25">
      <c r="A15" s="35"/>
      <c r="B15" s="33"/>
      <c r="C15" s="32"/>
      <c r="D15" t="s">
        <v>8</v>
      </c>
      <c r="E15" s="16">
        <v>1000</v>
      </c>
      <c r="F15" s="25">
        <f t="shared" si="0"/>
        <v>0.2857142857142857</v>
      </c>
      <c r="G15" s="31"/>
      <c r="H15" s="11"/>
      <c r="J15" s="19" t="s">
        <v>31</v>
      </c>
    </row>
    <row r="16" spans="1:15" x14ac:dyDescent="0.25">
      <c r="A16" s="35"/>
      <c r="B16" s="33" t="s">
        <v>3</v>
      </c>
      <c r="C16" s="32">
        <v>1.5</v>
      </c>
      <c r="D16" t="s">
        <v>10</v>
      </c>
      <c r="E16" s="15">
        <v>1</v>
      </c>
      <c r="F16" s="23"/>
      <c r="G16" s="31">
        <f>E16*((C16-1)/(5-1))*SUM(IFERROR(E17/SUM(E17,E34,E51),0),IFERROR(E18/SUM(E18,E35,E52),0))</f>
        <v>0</v>
      </c>
      <c r="H16" s="11"/>
    </row>
    <row r="17" spans="1:8" x14ac:dyDescent="0.25">
      <c r="A17" s="35"/>
      <c r="B17" s="33"/>
      <c r="C17" s="32"/>
      <c r="D17" t="s">
        <v>14</v>
      </c>
      <c r="E17" s="16">
        <v>0</v>
      </c>
      <c r="F17" s="25">
        <f>IFERROR(E17/SUM(E17,E34,E51),0)</f>
        <v>0</v>
      </c>
      <c r="G17" s="31"/>
      <c r="H17" s="11"/>
    </row>
    <row r="18" spans="1:8" x14ac:dyDescent="0.25">
      <c r="A18" s="35"/>
      <c r="B18" s="33"/>
      <c r="C18" s="32"/>
      <c r="D18" t="s">
        <v>8</v>
      </c>
      <c r="E18" s="16">
        <v>0</v>
      </c>
      <c r="F18" s="25">
        <f t="shared" si="0"/>
        <v>0</v>
      </c>
      <c r="G18" s="31"/>
      <c r="H18" s="11"/>
    </row>
    <row r="19" spans="1:8" x14ac:dyDescent="0.25">
      <c r="A19" s="35"/>
      <c r="B19" s="29" t="s">
        <v>11</v>
      </c>
      <c r="C19" s="36">
        <f>SUM(G4:G18)*C3</f>
        <v>2.3715892857142857</v>
      </c>
      <c r="D19" s="37"/>
      <c r="E19" s="37"/>
      <c r="F19" s="37"/>
      <c r="G19" s="38"/>
      <c r="H19" s="28">
        <f>_xlfn.RANK.EQ(C19,($C$19,$C$36,$C$53))</f>
        <v>1</v>
      </c>
    </row>
    <row r="20" spans="1:8" x14ac:dyDescent="0.25">
      <c r="A20" s="39" t="s">
        <v>13</v>
      </c>
      <c r="B20" s="6" t="s">
        <v>19</v>
      </c>
      <c r="C20" s="7">
        <f>IF(D20="отток",$K$2,IF(D20="удержание",$K$3,IF(D20="привлечение",$K$4,0)))</f>
        <v>1.1499999999999999</v>
      </c>
      <c r="D20" s="9" t="s">
        <v>17</v>
      </c>
      <c r="E20" s="12"/>
      <c r="F20" s="26"/>
      <c r="G20" s="9"/>
      <c r="H20" s="9"/>
    </row>
    <row r="21" spans="1:8" x14ac:dyDescent="0.25">
      <c r="A21" s="40"/>
      <c r="B21" s="33" t="s">
        <v>6</v>
      </c>
      <c r="C21" s="32">
        <v>4.9000000000000004</v>
      </c>
      <c r="D21" t="s">
        <v>1</v>
      </c>
      <c r="E21" s="15">
        <v>0</v>
      </c>
      <c r="F21" s="23"/>
      <c r="G21" s="31">
        <f>E21*((C21-1)/(5-1))*SUM(IFERROR(E22/SUM(E22,E39,E5),0),IFERROR(E23/SUM(E23,E40,E6),0))</f>
        <v>0</v>
      </c>
      <c r="H21" s="11"/>
    </row>
    <row r="22" spans="1:8" x14ac:dyDescent="0.25">
      <c r="A22" s="40"/>
      <c r="B22" s="33"/>
      <c r="C22" s="32"/>
      <c r="D22" t="s">
        <v>14</v>
      </c>
      <c r="E22" s="16">
        <v>0</v>
      </c>
      <c r="F22" s="24">
        <f>IFERROR(E22/SUM(E22,E39,E5),0)</f>
        <v>0</v>
      </c>
      <c r="G22" s="31"/>
      <c r="H22" s="11"/>
    </row>
    <row r="23" spans="1:8" x14ac:dyDescent="0.25">
      <c r="A23" s="40"/>
      <c r="B23" s="33"/>
      <c r="C23" s="32"/>
      <c r="D23" t="s">
        <v>8</v>
      </c>
      <c r="E23" s="16">
        <v>0</v>
      </c>
      <c r="F23" s="25">
        <f>IFERROR(E23/SUM(E23,E40,E6),0)</f>
        <v>0</v>
      </c>
      <c r="G23" s="31"/>
      <c r="H23" s="11"/>
    </row>
    <row r="24" spans="1:8" x14ac:dyDescent="0.25">
      <c r="A24" s="40"/>
      <c r="B24" s="33" t="s">
        <v>7</v>
      </c>
      <c r="C24" s="32">
        <v>4.8</v>
      </c>
      <c r="D24" t="s">
        <v>1</v>
      </c>
      <c r="E24" s="15">
        <v>0</v>
      </c>
      <c r="F24" s="23"/>
      <c r="G24" s="31">
        <f>E24*((C24-1)/(5-1))*SUM(IFERROR(E25/SUM(E25,E42,E8),0),IFERROR(E26/SUM(E26,E43,E9),0))</f>
        <v>0</v>
      </c>
      <c r="H24" s="11"/>
    </row>
    <row r="25" spans="1:8" x14ac:dyDescent="0.25">
      <c r="A25" s="40"/>
      <c r="B25" s="33"/>
      <c r="C25" s="32"/>
      <c r="D25" t="s">
        <v>14</v>
      </c>
      <c r="E25" s="16">
        <v>0</v>
      </c>
      <c r="F25" s="25">
        <f>IFERROR(E25/SUM(E25,E42,E8),0)</f>
        <v>0</v>
      </c>
      <c r="G25" s="31"/>
      <c r="H25" s="11"/>
    </row>
    <row r="26" spans="1:8" x14ac:dyDescent="0.25">
      <c r="A26" s="40"/>
      <c r="B26" s="33"/>
      <c r="C26" s="32"/>
      <c r="D26" t="s">
        <v>8</v>
      </c>
      <c r="E26" s="16">
        <v>0</v>
      </c>
      <c r="F26" s="25">
        <f>IFERROR(E26/SUM(E26,E43,E9),0)</f>
        <v>0</v>
      </c>
      <c r="G26" s="31"/>
      <c r="H26" s="11"/>
    </row>
    <row r="27" spans="1:8" x14ac:dyDescent="0.25">
      <c r="A27" s="40"/>
      <c r="B27" s="33" t="s">
        <v>0</v>
      </c>
      <c r="C27" s="32">
        <v>2.5</v>
      </c>
      <c r="D27" t="s">
        <v>1</v>
      </c>
      <c r="E27" s="15">
        <v>0</v>
      </c>
      <c r="F27" s="23"/>
      <c r="G27" s="31">
        <f>E27*((C27-1)/(5-1))*SUM(IFERROR(E28/SUM(E28,E45,E11),0),IFERROR(E29/SUM(E29,E46,E12),0))</f>
        <v>0</v>
      </c>
      <c r="H27" s="11"/>
    </row>
    <row r="28" spans="1:8" x14ac:dyDescent="0.25">
      <c r="A28" s="40"/>
      <c r="B28" s="33"/>
      <c r="C28" s="32"/>
      <c r="D28" t="s">
        <v>14</v>
      </c>
      <c r="E28" s="16">
        <v>0</v>
      </c>
      <c r="F28" s="25">
        <f>IFERROR(E28/SUM(E28,E45,E11),0)</f>
        <v>0</v>
      </c>
      <c r="G28" s="31"/>
      <c r="H28" s="11"/>
    </row>
    <row r="29" spans="1:8" x14ac:dyDescent="0.25">
      <c r="A29" s="40"/>
      <c r="B29" s="33"/>
      <c r="C29" s="32"/>
      <c r="D29" t="s">
        <v>8</v>
      </c>
      <c r="E29" s="16">
        <v>0</v>
      </c>
      <c r="F29" s="25">
        <f>IFERROR(E29/SUM(E29,E46,E12),0)</f>
        <v>0</v>
      </c>
      <c r="G29" s="31"/>
      <c r="H29" s="11"/>
    </row>
    <row r="30" spans="1:8" x14ac:dyDescent="0.25">
      <c r="A30" s="40"/>
      <c r="B30" s="33" t="s">
        <v>2</v>
      </c>
      <c r="C30" s="32">
        <v>1.4</v>
      </c>
      <c r="D30" t="s">
        <v>10</v>
      </c>
      <c r="E30" s="15">
        <v>1</v>
      </c>
      <c r="F30" s="23"/>
      <c r="G30" s="31">
        <f>E30*((C30-1)/(5-1))*SUM(IFERROR(E31/SUM(E31,E48,E14),0),IFERROR(E32/SUM(E32,E49,E15),0))</f>
        <v>0.10922619047619044</v>
      </c>
      <c r="H30" s="11"/>
    </row>
    <row r="31" spans="1:8" x14ac:dyDescent="0.25">
      <c r="A31" s="40"/>
      <c r="B31" s="33"/>
      <c r="C31" s="32"/>
      <c r="D31" t="s">
        <v>14</v>
      </c>
      <c r="E31" s="16">
        <v>25000000</v>
      </c>
      <c r="F31" s="25">
        <f>IFERROR(E31/SUM(E31,E48,E14),0)</f>
        <v>0.52083333333333337</v>
      </c>
      <c r="G31" s="31"/>
      <c r="H31" s="11"/>
    </row>
    <row r="32" spans="1:8" x14ac:dyDescent="0.25">
      <c r="A32" s="40"/>
      <c r="B32" s="33"/>
      <c r="C32" s="32"/>
      <c r="D32" t="s">
        <v>8</v>
      </c>
      <c r="E32" s="16">
        <v>2000</v>
      </c>
      <c r="F32" s="25">
        <f>IFERROR(E32/SUM(E32,E49,E15),0)</f>
        <v>0.5714285714285714</v>
      </c>
      <c r="G32" s="31"/>
      <c r="H32" s="11"/>
    </row>
    <row r="33" spans="1:8" x14ac:dyDescent="0.25">
      <c r="A33" s="40"/>
      <c r="B33" s="33" t="s">
        <v>3</v>
      </c>
      <c r="C33" s="32">
        <v>1.5</v>
      </c>
      <c r="D33" t="s">
        <v>10</v>
      </c>
      <c r="E33" s="15">
        <v>0</v>
      </c>
      <c r="F33" s="23"/>
      <c r="G33" s="31">
        <f>E33*((C33-1)/(5-1))*SUM(IFERROR(E34/SUM(E34,E51,E17),0),IFERROR(E35/SUM(E35,E52,E18),0))</f>
        <v>0</v>
      </c>
      <c r="H33" s="11"/>
    </row>
    <row r="34" spans="1:8" x14ac:dyDescent="0.25">
      <c r="A34" s="40"/>
      <c r="B34" s="33"/>
      <c r="C34" s="32"/>
      <c r="D34" t="s">
        <v>14</v>
      </c>
      <c r="E34" s="16">
        <v>0</v>
      </c>
      <c r="F34" s="25">
        <f>IFERROR(E34/SUM(E34,E51,E17),0)</f>
        <v>0</v>
      </c>
      <c r="G34" s="31"/>
      <c r="H34" s="11"/>
    </row>
    <row r="35" spans="1:8" x14ac:dyDescent="0.25">
      <c r="A35" s="40"/>
      <c r="B35" s="33"/>
      <c r="C35" s="32"/>
      <c r="D35" t="s">
        <v>8</v>
      </c>
      <c r="E35" s="16">
        <v>0</v>
      </c>
      <c r="F35" s="25">
        <f>IFERROR(E35/SUM(E35,E52,E18),0)</f>
        <v>0</v>
      </c>
      <c r="G35" s="31"/>
      <c r="H35" s="11"/>
    </row>
    <row r="36" spans="1:8" x14ac:dyDescent="0.25">
      <c r="A36" s="41"/>
      <c r="B36" s="30" t="s">
        <v>11</v>
      </c>
      <c r="C36" s="36">
        <f>SUM(G21:G35)*C20</f>
        <v>0.12561011904761898</v>
      </c>
      <c r="D36" s="37"/>
      <c r="E36" s="37"/>
      <c r="F36" s="37"/>
      <c r="G36" s="38"/>
      <c r="H36" s="28">
        <f>_xlfn.RANK.EQ(C36,($C$19,$C$36,$C$53))</f>
        <v>3</v>
      </c>
    </row>
    <row r="37" spans="1:8" x14ac:dyDescent="0.25">
      <c r="A37" s="39" t="s">
        <v>20</v>
      </c>
      <c r="B37" s="6" t="s">
        <v>19</v>
      </c>
      <c r="C37" s="7">
        <f>IF(D37="отток",$K$2,IF(D37="удержание",$K$3,IF(D37="привлечение",$K$4,0)))</f>
        <v>1.2</v>
      </c>
      <c r="D37" s="9" t="s">
        <v>15</v>
      </c>
      <c r="E37" s="12"/>
      <c r="F37" s="26"/>
      <c r="G37" s="9"/>
      <c r="H37" s="9"/>
    </row>
    <row r="38" spans="1:8" x14ac:dyDescent="0.25">
      <c r="A38" s="40"/>
      <c r="B38" s="33" t="s">
        <v>6</v>
      </c>
      <c r="C38" s="32">
        <v>4.9000000000000004</v>
      </c>
      <c r="D38" t="s">
        <v>1</v>
      </c>
      <c r="E38" s="15">
        <v>0</v>
      </c>
      <c r="F38" s="23"/>
      <c r="G38" s="31">
        <f>E38*((C38-1)/(5-1))*SUM(IFERROR(E39/SUM(E39,E5,E22),0),IFERROR(E40/SUM(E40,E6,E23),0))</f>
        <v>0</v>
      </c>
      <c r="H38" s="11"/>
    </row>
    <row r="39" spans="1:8" x14ac:dyDescent="0.25">
      <c r="A39" s="40"/>
      <c r="B39" s="33"/>
      <c r="C39" s="32"/>
      <c r="D39" t="s">
        <v>14</v>
      </c>
      <c r="E39" s="16">
        <v>0</v>
      </c>
      <c r="F39" s="25">
        <f>IFERROR(E39/SUM(E39,E5,E22),0)</f>
        <v>0</v>
      </c>
      <c r="G39" s="31"/>
      <c r="H39" s="11"/>
    </row>
    <row r="40" spans="1:8" x14ac:dyDescent="0.25">
      <c r="A40" s="40"/>
      <c r="B40" s="33"/>
      <c r="C40" s="32"/>
      <c r="D40" t="s">
        <v>8</v>
      </c>
      <c r="E40" s="16">
        <v>0</v>
      </c>
      <c r="F40" s="25">
        <f>IFERROR(E40/SUM(E40,E6,E23),0)</f>
        <v>0</v>
      </c>
      <c r="G40" s="31"/>
      <c r="H40" s="11"/>
    </row>
    <row r="41" spans="1:8" x14ac:dyDescent="0.25">
      <c r="A41" s="40"/>
      <c r="B41" s="33" t="s">
        <v>7</v>
      </c>
      <c r="C41" s="32">
        <v>4.8</v>
      </c>
      <c r="D41" t="s">
        <v>1</v>
      </c>
      <c r="E41" s="15">
        <v>1</v>
      </c>
      <c r="F41" s="23"/>
      <c r="G41" s="31">
        <f>E41*((C41-1)/(5-1))*SUM(IFERROR(E42/SUM(E42,E8,E25),0),IFERROR(E43/SUM(E43,E9,E26),0))</f>
        <v>1.9</v>
      </c>
      <c r="H41" s="11"/>
    </row>
    <row r="42" spans="1:8" x14ac:dyDescent="0.25">
      <c r="A42" s="40"/>
      <c r="B42" s="33"/>
      <c r="C42" s="32"/>
      <c r="D42" t="s">
        <v>14</v>
      </c>
      <c r="E42" s="16">
        <v>17000000</v>
      </c>
      <c r="F42" s="25">
        <f>IFERROR(E42/SUM(E42,E8,E25),0)</f>
        <v>1</v>
      </c>
      <c r="G42" s="31"/>
      <c r="H42" s="11"/>
    </row>
    <row r="43" spans="1:8" x14ac:dyDescent="0.25">
      <c r="A43" s="40"/>
      <c r="B43" s="33"/>
      <c r="C43" s="32"/>
      <c r="D43" t="s">
        <v>8</v>
      </c>
      <c r="E43" s="16">
        <v>1000</v>
      </c>
      <c r="F43" s="25">
        <f>IFERROR(E43/SUM(E43,E9,E26),0)</f>
        <v>1</v>
      </c>
      <c r="G43" s="31"/>
      <c r="H43" s="11"/>
    </row>
    <row r="44" spans="1:8" x14ac:dyDescent="0.25">
      <c r="A44" s="40"/>
      <c r="B44" s="33" t="s">
        <v>0</v>
      </c>
      <c r="C44" s="32">
        <v>2.5</v>
      </c>
      <c r="D44" t="s">
        <v>1</v>
      </c>
      <c r="E44" s="15">
        <v>0</v>
      </c>
      <c r="F44" s="23"/>
      <c r="G44" s="31">
        <f>E44*((C44-1)/(5-1))*SUM(IFERROR(E45/SUM(E45,E11,E28),0),IFERROR(E46/SUM(E46,E12,E29),0))</f>
        <v>0</v>
      </c>
      <c r="H44" s="11"/>
    </row>
    <row r="45" spans="1:8" x14ac:dyDescent="0.25">
      <c r="A45" s="40"/>
      <c r="B45" s="33"/>
      <c r="C45" s="32"/>
      <c r="D45" t="s">
        <v>14</v>
      </c>
      <c r="E45" s="16">
        <v>0</v>
      </c>
      <c r="F45" s="25">
        <f>IFERROR(E45/SUM(E45,E11,E28),0)</f>
        <v>0</v>
      </c>
      <c r="G45" s="31"/>
      <c r="H45" s="11"/>
    </row>
    <row r="46" spans="1:8" x14ac:dyDescent="0.25">
      <c r="A46" s="40"/>
      <c r="B46" s="33"/>
      <c r="C46" s="32"/>
      <c r="D46" t="s">
        <v>8</v>
      </c>
      <c r="E46" s="16">
        <v>0</v>
      </c>
      <c r="F46" s="25">
        <f>IFERROR(E46/SUM(E46,E12,E29),0)</f>
        <v>0</v>
      </c>
      <c r="G46" s="31"/>
      <c r="H46" s="11"/>
    </row>
    <row r="47" spans="1:8" x14ac:dyDescent="0.25">
      <c r="A47" s="40"/>
      <c r="B47" s="33" t="s">
        <v>2</v>
      </c>
      <c r="C47" s="32">
        <v>1.4</v>
      </c>
      <c r="D47" t="s">
        <v>10</v>
      </c>
      <c r="E47" s="15">
        <v>1</v>
      </c>
      <c r="F47" s="23"/>
      <c r="G47" s="31">
        <f>E47*((C47-1)/(5-1))*SUM(IFERROR(E48/SUM(E48,E14,E31),0),IFERROR(E49/SUM(E49,E15,E32),0))</f>
        <v>3.0952380952380946E-2</v>
      </c>
      <c r="H47" s="11"/>
    </row>
    <row r="48" spans="1:8" x14ac:dyDescent="0.25">
      <c r="A48" s="40"/>
      <c r="B48" s="33"/>
      <c r="C48" s="32"/>
      <c r="D48" t="s">
        <v>14</v>
      </c>
      <c r="E48" s="16">
        <v>8000000</v>
      </c>
      <c r="F48" s="25">
        <f>IFERROR(E48/SUM(E48,E14,E31),0)</f>
        <v>0.16666666666666666</v>
      </c>
      <c r="G48" s="31"/>
      <c r="H48" s="11"/>
    </row>
    <row r="49" spans="1:8" x14ac:dyDescent="0.25">
      <c r="A49" s="40"/>
      <c r="B49" s="33"/>
      <c r="C49" s="32"/>
      <c r="D49" t="s">
        <v>8</v>
      </c>
      <c r="E49" s="16">
        <v>500</v>
      </c>
      <c r="F49" s="25">
        <f>IFERROR(E49/SUM(E49,E15,E32),0)</f>
        <v>0.14285714285714285</v>
      </c>
      <c r="G49" s="31"/>
      <c r="H49" s="11"/>
    </row>
    <row r="50" spans="1:8" x14ac:dyDescent="0.25">
      <c r="A50" s="40"/>
      <c r="B50" s="33" t="s">
        <v>3</v>
      </c>
      <c r="C50" s="32">
        <v>1.5</v>
      </c>
      <c r="D50" t="s">
        <v>10</v>
      </c>
      <c r="E50" s="15">
        <v>0</v>
      </c>
      <c r="F50" s="23"/>
      <c r="G50" s="31">
        <f>E50*((C50-1)/(5-1))*SUM(IFERROR(E51/SUM(E51,E17,E34),0),IFERROR(E52/SUM(E52,E18,E35),0))</f>
        <v>0</v>
      </c>
      <c r="H50" s="11"/>
    </row>
    <row r="51" spans="1:8" x14ac:dyDescent="0.25">
      <c r="A51" s="40"/>
      <c r="B51" s="33"/>
      <c r="C51" s="32"/>
      <c r="D51" t="s">
        <v>14</v>
      </c>
      <c r="E51" s="16">
        <v>0</v>
      </c>
      <c r="F51" s="25">
        <f>IFERROR(E51/SUM(E51,E17,E34),0)</f>
        <v>0</v>
      </c>
      <c r="G51" s="31"/>
      <c r="H51" s="11"/>
    </row>
    <row r="52" spans="1:8" x14ac:dyDescent="0.25">
      <c r="A52" s="40"/>
      <c r="B52" s="33"/>
      <c r="C52" s="32"/>
      <c r="D52" t="s">
        <v>8</v>
      </c>
      <c r="E52" s="16">
        <v>0</v>
      </c>
      <c r="F52" s="25">
        <f>IFERROR(E52/SUM(E52,E18,E35),0)</f>
        <v>0</v>
      </c>
      <c r="G52" s="31"/>
      <c r="H52" s="11"/>
    </row>
    <row r="53" spans="1:8" x14ac:dyDescent="0.25">
      <c r="A53" s="41"/>
      <c r="B53" s="30" t="s">
        <v>11</v>
      </c>
      <c r="C53" s="36">
        <f>SUM(G38:G52)*C37</f>
        <v>2.3171428571428567</v>
      </c>
      <c r="D53" s="37"/>
      <c r="E53" s="37"/>
      <c r="F53" s="37"/>
      <c r="G53" s="38"/>
      <c r="H53" s="28">
        <f>_xlfn.RANK.EQ(C53,($C$19,$C$36,$C$53))</f>
        <v>2</v>
      </c>
    </row>
  </sheetData>
  <mergeCells count="52">
    <mergeCell ref="C19:G19"/>
    <mergeCell ref="C36:G36"/>
    <mergeCell ref="C53:G53"/>
    <mergeCell ref="A20:A36"/>
    <mergeCell ref="A37:A53"/>
    <mergeCell ref="G47:G49"/>
    <mergeCell ref="B50:B52"/>
    <mergeCell ref="C50:C52"/>
    <mergeCell ref="G50:G52"/>
    <mergeCell ref="B38:B40"/>
    <mergeCell ref="C38:C40"/>
    <mergeCell ref="G38:G40"/>
    <mergeCell ref="B41:B43"/>
    <mergeCell ref="C41:C43"/>
    <mergeCell ref="G41:G43"/>
    <mergeCell ref="B44:B46"/>
    <mergeCell ref="C44:C46"/>
    <mergeCell ref="G44:G46"/>
    <mergeCell ref="B47:B49"/>
    <mergeCell ref="C47:C49"/>
    <mergeCell ref="A2:H2"/>
    <mergeCell ref="A3:A19"/>
    <mergeCell ref="B10:B12"/>
    <mergeCell ref="G10:G12"/>
    <mergeCell ref="C10:C12"/>
    <mergeCell ref="B21:B23"/>
    <mergeCell ref="C21:C23"/>
    <mergeCell ref="G21:G23"/>
    <mergeCell ref="B33:B35"/>
    <mergeCell ref="C33:C35"/>
    <mergeCell ref="G33:G35"/>
    <mergeCell ref="B24:B26"/>
    <mergeCell ref="C24:C26"/>
    <mergeCell ref="G24:G26"/>
    <mergeCell ref="B30:B32"/>
    <mergeCell ref="C30:C32"/>
    <mergeCell ref="G30:G32"/>
    <mergeCell ref="B27:B29"/>
    <mergeCell ref="C27:C29"/>
    <mergeCell ref="G27:G29"/>
    <mergeCell ref="B4:B6"/>
    <mergeCell ref="B7:B9"/>
    <mergeCell ref="B13:B15"/>
    <mergeCell ref="B16:B18"/>
    <mergeCell ref="C16:C18"/>
    <mergeCell ref="G16:G18"/>
    <mergeCell ref="G4:G6"/>
    <mergeCell ref="C4:C6"/>
    <mergeCell ref="C7:C9"/>
    <mergeCell ref="C13:C15"/>
    <mergeCell ref="G7:G9"/>
    <mergeCell ref="G13:G15"/>
  </mergeCells>
  <dataValidations count="2">
    <dataValidation type="list" allowBlank="1" showInputMessage="1" showErrorMessage="1" sqref="E4 E7 E10 E13 E16 E21 E24 E27 E30 E38 E33 E41 E44 E47 E50">
      <formula1>$O$2:$O$3</formula1>
    </dataValidation>
    <dataValidation type="list" allowBlank="1" showInputMessage="1" showErrorMessage="1" sqref="D3 D20 D37">
      <formula1>$J$2:$J$4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2026-01-29T14:56:03Z</dcterms:modified>
</cp:coreProperties>
</file>